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SAN\Desktop\"/>
    </mc:Choice>
  </mc:AlternateContent>
  <xr:revisionPtr revIDLastSave="0" documentId="8_{D88D600C-7BA8-4762-93C5-A4AAEFCE4F6F}" xr6:coauthVersionLast="47" xr6:coauthVersionMax="47" xr10:uidLastSave="{00000000-0000-0000-0000-000000000000}"/>
  <bookViews>
    <workbookView xWindow="-120" yWindow="-120" windowWidth="24240" windowHeight="13140" activeTab="1" xr2:uid="{54EF3526-E3BF-43B4-B880-5ADE543DC9C7}"/>
  </bookViews>
  <sheets>
    <sheet name="Sheet2" sheetId="2" r:id="rId1"/>
    <sheet name="Sheet1" sheetId="1" r:id="rId2"/>
  </sheets>
  <calcPr calcId="191029"/>
  <pivotCaches>
    <pivotCache cacheId="31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9" i="1" l="1"/>
  <c r="N13" i="1"/>
  <c r="N14" i="1"/>
  <c r="N19" i="1"/>
  <c r="M13" i="1"/>
  <c r="M14" i="1"/>
  <c r="N8" i="1"/>
  <c r="N9" i="1"/>
  <c r="N17" i="1"/>
  <c r="N26" i="1"/>
  <c r="L3" i="1"/>
  <c r="N3" i="1" s="1"/>
  <c r="J30" i="1"/>
  <c r="I30" i="1"/>
  <c r="H30" i="1"/>
  <c r="G30" i="1"/>
  <c r="F30" i="1"/>
  <c r="L2" i="1"/>
  <c r="N2" i="1" s="1"/>
  <c r="L4" i="1"/>
  <c r="M3" i="1" s="1"/>
  <c r="L5" i="1"/>
  <c r="M5" i="1" s="1"/>
  <c r="L6" i="1"/>
  <c r="M6" i="1" s="1"/>
  <c r="L7" i="1"/>
  <c r="M7" i="1" s="1"/>
  <c r="L8" i="1"/>
  <c r="M8" i="1" s="1"/>
  <c r="L9" i="1"/>
  <c r="M9" i="1" s="1"/>
  <c r="L10" i="1"/>
  <c r="M10" i="1" s="1"/>
  <c r="L11" i="1"/>
  <c r="M11" i="1" s="1"/>
  <c r="L12" i="1"/>
  <c r="M12" i="1" s="1"/>
  <c r="L13" i="1"/>
  <c r="L14" i="1"/>
  <c r="L15" i="1"/>
  <c r="M15" i="1" s="1"/>
  <c r="L16" i="1"/>
  <c r="M16" i="1" s="1"/>
  <c r="L17" i="1"/>
  <c r="M17" i="1" s="1"/>
  <c r="L18" i="1"/>
  <c r="M18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N22" i="1" l="1"/>
  <c r="N15" i="1"/>
  <c r="N6" i="1"/>
  <c r="N12" i="1"/>
  <c r="N20" i="1"/>
  <c r="N24" i="1"/>
  <c r="N21" i="1"/>
  <c r="N10" i="1"/>
  <c r="N5" i="1"/>
  <c r="N11" i="1"/>
  <c r="N7" i="1"/>
  <c r="N16" i="1"/>
  <c r="N23" i="1"/>
  <c r="N25" i="1"/>
  <c r="M19" i="1"/>
  <c r="N18" i="1"/>
  <c r="M2" i="1"/>
  <c r="N4" i="1"/>
  <c r="M4" i="1"/>
</calcChain>
</file>

<file path=xl/sharedStrings.xml><?xml version="1.0" encoding="utf-8"?>
<sst xmlns="http://schemas.openxmlformats.org/spreadsheetml/2006/main" count="126" uniqueCount="99">
  <si>
    <t>S.NO</t>
  </si>
  <si>
    <t xml:space="preserve">DATE </t>
  </si>
  <si>
    <t xml:space="preserve">ENORLLMENT .NO </t>
  </si>
  <si>
    <t xml:space="preserve">           NAME </t>
  </si>
  <si>
    <t xml:space="preserve">    FATHER NAME </t>
  </si>
  <si>
    <t xml:space="preserve"> MIDTERM</t>
  </si>
  <si>
    <t>FINAL TERM</t>
  </si>
  <si>
    <t xml:space="preserve"> PRESENTATION</t>
  </si>
  <si>
    <t xml:space="preserve">TOTAL MARKS </t>
  </si>
  <si>
    <t xml:space="preserve">OBTAINED MARKS </t>
  </si>
  <si>
    <t xml:space="preserve">REMARKS </t>
  </si>
  <si>
    <t xml:space="preserve">      2026/23/011</t>
  </si>
  <si>
    <t xml:space="preserve">      2026/23/012</t>
  </si>
  <si>
    <t xml:space="preserve">     2026/23/013</t>
  </si>
  <si>
    <t xml:space="preserve">     2026/23/014</t>
  </si>
  <si>
    <t xml:space="preserve">     2026/23/015</t>
  </si>
  <si>
    <t xml:space="preserve">     2026/23/016</t>
  </si>
  <si>
    <t xml:space="preserve">     2026/23/017</t>
  </si>
  <si>
    <t xml:space="preserve">     2026/23/018</t>
  </si>
  <si>
    <t xml:space="preserve">     2026/23/019</t>
  </si>
  <si>
    <t xml:space="preserve">     2026/23/020</t>
  </si>
  <si>
    <t xml:space="preserve">     2026/23/021</t>
  </si>
  <si>
    <t xml:space="preserve">     2026/23/022</t>
  </si>
  <si>
    <t xml:space="preserve">     2026/23/023</t>
  </si>
  <si>
    <t xml:space="preserve">     2026/23/024</t>
  </si>
  <si>
    <t xml:space="preserve">     2026/23/025</t>
  </si>
  <si>
    <t xml:space="preserve">     2026/23/026</t>
  </si>
  <si>
    <t xml:space="preserve">     2026/23/027</t>
  </si>
  <si>
    <t xml:space="preserve">     2026/23/028</t>
  </si>
  <si>
    <t xml:space="preserve">     2026/23/029</t>
  </si>
  <si>
    <t xml:space="preserve">     2026/23/030</t>
  </si>
  <si>
    <t xml:space="preserve">     2026/23/031</t>
  </si>
  <si>
    <t xml:space="preserve">     2026/23/032</t>
  </si>
  <si>
    <t xml:space="preserve">     2026/23/033</t>
  </si>
  <si>
    <t xml:space="preserve">     2026/23/034</t>
  </si>
  <si>
    <t xml:space="preserve">     2026/23/035</t>
  </si>
  <si>
    <t>Ayesha shahid</t>
  </si>
  <si>
    <t>Mahanoor khan</t>
  </si>
  <si>
    <t>Flisha ikhlas</t>
  </si>
  <si>
    <t>Maham sheik</t>
  </si>
  <si>
    <t>Ali imran</t>
  </si>
  <si>
    <t>Ahmed</t>
  </si>
  <si>
    <t xml:space="preserve">Rabiya munir </t>
  </si>
  <si>
    <t xml:space="preserve">Fatima </t>
  </si>
  <si>
    <t xml:space="preserve">Faheem khan </t>
  </si>
  <si>
    <t xml:space="preserve">Raza ahemed </t>
  </si>
  <si>
    <t>Aliza fatima</t>
  </si>
  <si>
    <t>Simran</t>
  </si>
  <si>
    <t xml:space="preserve">Wajeeha </t>
  </si>
  <si>
    <t>Musfira</t>
  </si>
  <si>
    <t>Shafaq zehra</t>
  </si>
  <si>
    <t>Armeen sheik</t>
  </si>
  <si>
    <t xml:space="preserve">Hiba naz </t>
  </si>
  <si>
    <t>Khadeeja rizvi</t>
  </si>
  <si>
    <t xml:space="preserve">Mehdia fatima </t>
  </si>
  <si>
    <t xml:space="preserve">Mustafa ali </t>
  </si>
  <si>
    <t xml:space="preserve">Misha babr </t>
  </si>
  <si>
    <t xml:space="preserve">Syeda hooriya </t>
  </si>
  <si>
    <t>Tayaiba sheik</t>
  </si>
  <si>
    <t>Muhammad shahid</t>
  </si>
  <si>
    <t>Muhammad ikhlas</t>
  </si>
  <si>
    <t>Muhammad imran</t>
  </si>
  <si>
    <t>Muhammad munir</t>
  </si>
  <si>
    <t>Muhammad rizvi</t>
  </si>
  <si>
    <t>Salman sheik</t>
  </si>
  <si>
    <t>Abdul wahab</t>
  </si>
  <si>
    <t>Muhammad naseem</t>
  </si>
  <si>
    <t xml:space="preserve">Atique </t>
  </si>
  <si>
    <t>Ali</t>
  </si>
  <si>
    <t>Abdul wajdan</t>
  </si>
  <si>
    <t>Abdul  mannan</t>
  </si>
  <si>
    <t>Abdul  majeed</t>
  </si>
  <si>
    <t>Mehdi saleem</t>
  </si>
  <si>
    <t>Shoibe khan</t>
  </si>
  <si>
    <t>Amhed</t>
  </si>
  <si>
    <t>Waseem khan</t>
  </si>
  <si>
    <t>Aman khan</t>
  </si>
  <si>
    <t>Abid khan</t>
  </si>
  <si>
    <t>Majid khan</t>
  </si>
  <si>
    <t>Hafza haider</t>
  </si>
  <si>
    <t>Haider ali</t>
  </si>
  <si>
    <t>Muhammad ahmed</t>
  </si>
  <si>
    <t>Furkan</t>
  </si>
  <si>
    <t>Shakil ahemed</t>
  </si>
  <si>
    <t>Yousaf</t>
  </si>
  <si>
    <t>Nabiha Yousaf</t>
  </si>
  <si>
    <t xml:space="preserve">    QUIZ 1</t>
  </si>
  <si>
    <t xml:space="preserve">  QUIZ 2</t>
  </si>
  <si>
    <t>COUNT</t>
  </si>
  <si>
    <t>AVERAGE</t>
  </si>
  <si>
    <t>MIN</t>
  </si>
  <si>
    <t>MAX</t>
  </si>
  <si>
    <t>VLOOKUP</t>
  </si>
  <si>
    <t>PERCENTAGE</t>
  </si>
  <si>
    <t>(All)</t>
  </si>
  <si>
    <t>Grand Total</t>
  </si>
  <si>
    <t>(Multiple Items)</t>
  </si>
  <si>
    <t>Row Labels</t>
  </si>
  <si>
    <t>pivot table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</si>
</sst>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HSAN" refreshedDate="46053.22063935185" createdVersion="8" refreshedVersion="8" minRefreshableVersion="3" recordCount="25" xr:uid="{EBA68CAA-1C4C-4169-B11A-115A854CD970}">
  <cacheSource type="worksheet">
    <worksheetSource ref="A1:N26" sheet="Sheet1"/>
  </cacheSource>
  <cacheFields count="14">
    <cacheField name="S.NO" numFmtId="0">
      <sharedItems containsSemiMixedTypes="0" containsString="0" containsNumber="1" containsInteger="1" minValue="1" maxValue="25" count="2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</sharedItems>
    </cacheField>
    <cacheField name="DATE " numFmtId="14">
      <sharedItems containsSemiMixedTypes="0" containsNonDate="0" containsDate="1" containsString="0" minDate="2026-02-01T00:00:00" maxDate="2026-12-15T00:00:00"/>
    </cacheField>
    <cacheField name="ENORLLMENT .NO " numFmtId="0">
      <sharedItems count="25">
        <s v="      2026/23/011"/>
        <s v="      2026/23/012"/>
        <s v="     2026/23/013"/>
        <s v="     2026/23/014"/>
        <s v="     2026/23/015"/>
        <s v="     2026/23/016"/>
        <s v="     2026/23/017"/>
        <s v="     2026/23/018"/>
        <s v="     2026/23/019"/>
        <s v="     2026/23/020"/>
        <s v="     2026/23/021"/>
        <s v="     2026/23/022"/>
        <s v="     2026/23/023"/>
        <s v="     2026/23/024"/>
        <s v="     2026/23/025"/>
        <s v="     2026/23/026"/>
        <s v="     2026/23/027"/>
        <s v="     2026/23/028"/>
        <s v="     2026/23/029"/>
        <s v="     2026/23/030"/>
        <s v="     2026/23/031"/>
        <s v="     2026/23/032"/>
        <s v="     2026/23/033"/>
        <s v="     2026/23/034"/>
        <s v="     2026/23/035"/>
      </sharedItems>
    </cacheField>
    <cacheField name="           NAME " numFmtId="0">
      <sharedItems count="25">
        <s v="Ayesha shahid"/>
        <s v="Mahanoor khan"/>
        <s v="Maham sheik"/>
        <s v="Flisha ikhlas"/>
        <s v="Ali imran"/>
        <s v="Ahmed"/>
        <s v="Rabiya munir "/>
        <s v="Fatima "/>
        <s v="Faheem khan "/>
        <s v="Raza ahemed "/>
        <s v="Aliza fatima"/>
        <s v="Simran"/>
        <s v="Wajeeha "/>
        <s v="Musfira"/>
        <s v="Nabiha Yousaf"/>
        <s v="Shafaq zehra"/>
        <s v="Armeen sheik"/>
        <s v="Hafza haider"/>
        <s v="Hiba naz "/>
        <s v="Khadeeja rizvi"/>
        <s v="Mehdia fatima "/>
        <s v="Mustafa ali "/>
        <s v="Misha babr "/>
        <s v="Syeda hooriya "/>
        <s v="Tayaiba sheik"/>
      </sharedItems>
    </cacheField>
    <cacheField name="    FATHER NAME " numFmtId="0">
      <sharedItems/>
    </cacheField>
    <cacheField name="    QUIZ 1" numFmtId="0">
      <sharedItems containsSemiMixedTypes="0" containsString="0" containsNumber="1" containsInteger="1" minValue="0" maxValue="10"/>
    </cacheField>
    <cacheField name=" MIDTERM" numFmtId="0">
      <sharedItems containsSemiMixedTypes="0" containsString="0" containsNumber="1" containsInteger="1" minValue="20" maxValue="20" count="1">
        <n v="20"/>
      </sharedItems>
    </cacheField>
    <cacheField name="  QUIZ 2" numFmtId="0">
      <sharedItems containsSemiMixedTypes="0" containsString="0" containsNumber="1" containsInteger="1" minValue="0" maxValue="10" count="9">
        <n v="10"/>
        <n v="8"/>
        <n v="9"/>
        <n v="7"/>
        <n v="6"/>
        <n v="5"/>
        <n v="3"/>
        <n v="2"/>
        <n v="0"/>
      </sharedItems>
    </cacheField>
    <cacheField name="FINAL TERM" numFmtId="0">
      <sharedItems containsSemiMixedTypes="0" containsString="0" containsNumber="1" containsInteger="1" minValue="6" maxValue="39"/>
    </cacheField>
    <cacheField name=" PRESENTATION" numFmtId="0">
      <sharedItems containsSemiMixedTypes="0" containsString="0" containsNumber="1" containsInteger="1" minValue="4" maxValue="20"/>
    </cacheField>
    <cacheField name="TOTAL MARKS " numFmtId="0">
      <sharedItems containsSemiMixedTypes="0" containsString="0" containsNumber="1" containsInteger="1" minValue="100" maxValue="100" count="1">
        <n v="100"/>
      </sharedItems>
    </cacheField>
    <cacheField name="OBTAINED MARKS " numFmtId="0">
      <sharedItems containsSemiMixedTypes="0" containsString="0" containsNumber="1" containsInteger="1" minValue="36" maxValue="99" count="21">
        <n v="99"/>
        <n v="96"/>
        <n v="69"/>
        <n v="61"/>
        <n v="60"/>
        <n v="67"/>
        <n v="55"/>
        <n v="48"/>
        <n v="42"/>
        <n v="52"/>
        <n v="36"/>
        <n v="82"/>
        <n v="73"/>
        <n v="88"/>
        <n v="95"/>
        <n v="50"/>
        <n v="53"/>
        <n v="65"/>
        <n v="78"/>
        <n v="87"/>
        <n v="94"/>
      </sharedItems>
    </cacheField>
    <cacheField name="REMARKS " numFmtId="0">
      <sharedItems/>
    </cacheField>
    <cacheField name="PERCENTAGE" numFmtId="0">
      <sharedItems containsSemiMixedTypes="0" containsString="0" containsNumber="1" containsInteger="1" minValue="36" maxValue="99" count="21">
        <n v="99"/>
        <n v="96"/>
        <n v="69"/>
        <n v="61"/>
        <n v="60"/>
        <n v="67"/>
        <n v="55"/>
        <n v="48"/>
        <n v="42"/>
        <n v="52"/>
        <n v="36"/>
        <n v="82"/>
        <n v="73"/>
        <n v="88"/>
        <n v="95"/>
        <n v="50"/>
        <n v="53"/>
        <n v="65"/>
        <n v="78"/>
        <n v="87"/>
        <n v="9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x v="0"/>
    <d v="2026-02-01T00:00:00"/>
    <x v="0"/>
    <x v="0"/>
    <s v="Muhammad shahid"/>
    <n v="10"/>
    <x v="0"/>
    <x v="0"/>
    <n v="39"/>
    <n v="20"/>
    <x v="0"/>
    <x v="0"/>
    <s v="PASS"/>
    <x v="0"/>
  </r>
  <r>
    <x v="1"/>
    <d v="2026-02-01T00:00:00"/>
    <x v="1"/>
    <x v="1"/>
    <s v="Salman sheik"/>
    <n v="10"/>
    <x v="0"/>
    <x v="1"/>
    <n v="39"/>
    <n v="19"/>
    <x v="0"/>
    <x v="1"/>
    <s v="PASS"/>
    <x v="1"/>
  </r>
  <r>
    <x v="2"/>
    <d v="2026-03-01T00:00:00"/>
    <x v="2"/>
    <x v="2"/>
    <s v="Abdul wahab"/>
    <n v="10"/>
    <x v="0"/>
    <x v="0"/>
    <n v="38"/>
    <n v="18"/>
    <x v="0"/>
    <x v="1"/>
    <s v="PASS"/>
    <x v="1"/>
  </r>
  <r>
    <x v="3"/>
    <d v="2026-04-01T00:00:00"/>
    <x v="3"/>
    <x v="3"/>
    <s v="Muhammad ikhlas"/>
    <n v="9"/>
    <x v="0"/>
    <x v="2"/>
    <n v="11"/>
    <n v="20"/>
    <x v="0"/>
    <x v="2"/>
    <s v="PASS"/>
    <x v="2"/>
  </r>
  <r>
    <x v="4"/>
    <d v="2026-05-01T00:00:00"/>
    <x v="4"/>
    <x v="4"/>
    <s v="Muhammad imran"/>
    <n v="8"/>
    <x v="0"/>
    <x v="1"/>
    <n v="9"/>
    <n v="16"/>
    <x v="0"/>
    <x v="3"/>
    <s v="PASS"/>
    <x v="3"/>
  </r>
  <r>
    <x v="5"/>
    <d v="2026-06-01T00:00:00"/>
    <x v="5"/>
    <x v="5"/>
    <s v="Muhammad naseem"/>
    <n v="7"/>
    <x v="0"/>
    <x v="3"/>
    <n v="10"/>
    <n v="16"/>
    <x v="0"/>
    <x v="4"/>
    <s v="PASS"/>
    <x v="4"/>
  </r>
  <r>
    <x v="6"/>
    <d v="2026-07-01T00:00:00"/>
    <x v="6"/>
    <x v="6"/>
    <s v="Muhammad munir"/>
    <n v="6"/>
    <x v="0"/>
    <x v="4"/>
    <n v="20"/>
    <n v="15"/>
    <x v="0"/>
    <x v="5"/>
    <s v="PASS"/>
    <x v="5"/>
  </r>
  <r>
    <x v="7"/>
    <d v="2026-08-01T00:00:00"/>
    <x v="7"/>
    <x v="7"/>
    <s v="Atique "/>
    <n v="1"/>
    <x v="0"/>
    <x v="5"/>
    <n v="15"/>
    <n v="14"/>
    <x v="0"/>
    <x v="6"/>
    <s v="PASS"/>
    <x v="6"/>
  </r>
  <r>
    <x v="8"/>
    <d v="2026-09-01T00:00:00"/>
    <x v="8"/>
    <x v="8"/>
    <s v="Shoibe khan"/>
    <n v="10"/>
    <x v="0"/>
    <x v="0"/>
    <n v="36"/>
    <n v="20"/>
    <x v="0"/>
    <x v="1"/>
    <s v="PASS"/>
    <x v="1"/>
  </r>
  <r>
    <x v="9"/>
    <d v="2026-10-01T00:00:00"/>
    <x v="9"/>
    <x v="9"/>
    <s v="Amhed"/>
    <n v="0"/>
    <x v="0"/>
    <x v="6"/>
    <n v="15"/>
    <n v="10"/>
    <x v="0"/>
    <x v="7"/>
    <s v="FAIL"/>
    <x v="7"/>
  </r>
  <r>
    <x v="10"/>
    <d v="2026-11-01T00:00:00"/>
    <x v="10"/>
    <x v="10"/>
    <s v="Waseem khan"/>
    <n v="4"/>
    <x v="0"/>
    <x v="6"/>
    <n v="10"/>
    <n v="5"/>
    <x v="0"/>
    <x v="8"/>
    <s v="FAIL"/>
    <x v="8"/>
  </r>
  <r>
    <x v="11"/>
    <d v="2026-12-01T00:00:00"/>
    <x v="11"/>
    <x v="11"/>
    <s v="Aman khan"/>
    <n v="6"/>
    <x v="0"/>
    <x v="5"/>
    <n v="11"/>
    <n v="10"/>
    <x v="0"/>
    <x v="9"/>
    <s v="PASS"/>
    <x v="9"/>
  </r>
  <r>
    <x v="12"/>
    <d v="2026-12-02T00:00:00"/>
    <x v="12"/>
    <x v="12"/>
    <s v="Abid khan"/>
    <n v="4"/>
    <x v="0"/>
    <x v="7"/>
    <n v="6"/>
    <n v="4"/>
    <x v="0"/>
    <x v="10"/>
    <s v="FAIL"/>
    <x v="10"/>
  </r>
  <r>
    <x v="13"/>
    <d v="2026-12-03T00:00:00"/>
    <x v="13"/>
    <x v="13"/>
    <s v="Majid khan"/>
    <n v="10"/>
    <x v="0"/>
    <x v="0"/>
    <n v="22"/>
    <n v="20"/>
    <x v="0"/>
    <x v="11"/>
    <s v="PASS"/>
    <x v="11"/>
  </r>
  <r>
    <x v="14"/>
    <d v="2026-12-04T00:00:00"/>
    <x v="14"/>
    <x v="14"/>
    <s v="Yousaf"/>
    <n v="10"/>
    <x v="0"/>
    <x v="1"/>
    <n v="16"/>
    <n v="19"/>
    <x v="0"/>
    <x v="12"/>
    <s v="PASS"/>
    <x v="12"/>
  </r>
  <r>
    <x v="15"/>
    <d v="2026-12-05T00:00:00"/>
    <x v="15"/>
    <x v="15"/>
    <s v="Shakil ahemed"/>
    <n v="10"/>
    <x v="0"/>
    <x v="2"/>
    <n v="35"/>
    <n v="14"/>
    <x v="0"/>
    <x v="13"/>
    <s v="PASS"/>
    <x v="13"/>
  </r>
  <r>
    <x v="16"/>
    <d v="2026-12-06T00:00:00"/>
    <x v="16"/>
    <x v="16"/>
    <s v="Furkan"/>
    <n v="8"/>
    <x v="0"/>
    <x v="0"/>
    <n v="37"/>
    <n v="20"/>
    <x v="0"/>
    <x v="14"/>
    <s v="PASS"/>
    <x v="14"/>
  </r>
  <r>
    <x v="17"/>
    <d v="2026-12-07T00:00:00"/>
    <x v="17"/>
    <x v="17"/>
    <s v="Haider ali"/>
    <n v="9"/>
    <x v="0"/>
    <x v="8"/>
    <n v="10"/>
    <n v="11"/>
    <x v="0"/>
    <x v="15"/>
    <s v="FAIL"/>
    <x v="15"/>
  </r>
  <r>
    <x v="18"/>
    <d v="2026-12-08T00:00:00"/>
    <x v="18"/>
    <x v="18"/>
    <s v="Muhammad ahmed"/>
    <n v="7"/>
    <x v="0"/>
    <x v="3"/>
    <n v="10"/>
    <n v="11"/>
    <x v="0"/>
    <x v="6"/>
    <s v="PASS"/>
    <x v="6"/>
  </r>
  <r>
    <x v="19"/>
    <d v="2026-12-09T00:00:00"/>
    <x v="19"/>
    <x v="19"/>
    <s v="Muhammad rizvi"/>
    <n v="10"/>
    <x v="0"/>
    <x v="0"/>
    <n v="35"/>
    <n v="20"/>
    <x v="0"/>
    <x v="14"/>
    <s v="PASS"/>
    <x v="14"/>
  </r>
  <r>
    <x v="20"/>
    <d v="2026-12-10T00:00:00"/>
    <x v="20"/>
    <x v="20"/>
    <s v="Mehdi saleem"/>
    <n v="0"/>
    <x v="0"/>
    <x v="5"/>
    <n v="17"/>
    <n v="11"/>
    <x v="0"/>
    <x v="16"/>
    <s v="PASS"/>
    <x v="16"/>
  </r>
  <r>
    <x v="21"/>
    <d v="2026-12-11T00:00:00"/>
    <x v="21"/>
    <x v="21"/>
    <s v="Ali"/>
    <n v="9"/>
    <x v="0"/>
    <x v="2"/>
    <n v="22"/>
    <n v="5"/>
    <x v="0"/>
    <x v="17"/>
    <s v="PASS"/>
    <x v="17"/>
  </r>
  <r>
    <x v="22"/>
    <d v="2026-12-12T00:00:00"/>
    <x v="22"/>
    <x v="22"/>
    <s v="Abdul wajdan"/>
    <n v="8"/>
    <x v="0"/>
    <x v="0"/>
    <n v="20"/>
    <n v="20"/>
    <x v="0"/>
    <x v="18"/>
    <s v="PASS"/>
    <x v="18"/>
  </r>
  <r>
    <x v="23"/>
    <d v="2026-12-13T00:00:00"/>
    <x v="23"/>
    <x v="23"/>
    <s v="Abdul  mannan"/>
    <n v="10"/>
    <x v="0"/>
    <x v="2"/>
    <n v="29"/>
    <n v="19"/>
    <x v="0"/>
    <x v="19"/>
    <s v="PASS"/>
    <x v="19"/>
  </r>
  <r>
    <x v="24"/>
    <d v="2026-12-14T00:00:00"/>
    <x v="24"/>
    <x v="24"/>
    <s v="Abdul  majeed"/>
    <n v="10"/>
    <x v="0"/>
    <x v="0"/>
    <n v="34"/>
    <n v="20"/>
    <x v="0"/>
    <x v="20"/>
    <s v="PASS"/>
    <x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FE96B5-299B-4680-A1FE-56D69F3838A7}" name="PivotTable17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19:P45" firstHeaderRow="1" firstDataRow="1" firstDataCol="1" rowPageCount="1" colPageCount="1"/>
  <pivotFields count="14">
    <pivotField showAll="0"/>
    <pivotField numFmtId="14" showAll="0"/>
    <pivotField axis="axisRow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axis="axisPage" multipleItemSelectionAllowed="1" showAll="0">
      <items count="26">
        <item x="5"/>
        <item x="4"/>
        <item x="10"/>
        <item x="16"/>
        <item x="0"/>
        <item x="8"/>
        <item x="7"/>
        <item x="3"/>
        <item x="17"/>
        <item x="18"/>
        <item x="19"/>
        <item x="2"/>
        <item x="1"/>
        <item x="20"/>
        <item x="22"/>
        <item x="13"/>
        <item x="21"/>
        <item x="14"/>
        <item x="6"/>
        <item x="9"/>
        <item x="15"/>
        <item x="11"/>
        <item x="23"/>
        <item x="24"/>
        <item x="12"/>
        <item t="default"/>
      </items>
    </pivotField>
    <pivotField showAll="0"/>
    <pivotField showAll="0"/>
    <pivotField showAll="0"/>
    <pivotField showAll="0">
      <items count="10">
        <item x="8"/>
        <item x="7"/>
        <item x="6"/>
        <item x="5"/>
        <item x="4"/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2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pageFields count="1">
    <pageField fld="3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DCAED9-4B49-4D70-9AF9-A33B55008513}" name="PivotTable16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O54" firstHeaderRow="0" firstDataRow="0" firstDataCol="0" rowPageCount="1" colPageCount="1"/>
  <pivotFields count="14">
    <pivotField multipleItemSelectionAllowed="1" showAll="0">
      <items count="26">
        <item x="0"/>
        <item x="1"/>
        <item x="2"/>
        <item x="3"/>
        <item x="4"/>
        <item x="5"/>
        <item x="6"/>
        <item h="1" x="7"/>
        <item x="8"/>
        <item x="9"/>
        <item h="1" x="10"/>
        <item x="11"/>
        <item h="1" x="12"/>
        <item x="13"/>
        <item x="14"/>
        <item x="15"/>
        <item h="1" x="16"/>
        <item x="17"/>
        <item x="18"/>
        <item x="19"/>
        <item x="20"/>
        <item x="21"/>
        <item x="22"/>
        <item h="1" x="23"/>
        <item x="24"/>
        <item t="default"/>
      </items>
    </pivotField>
    <pivotField numFmtId="14" showAll="0"/>
    <pivotField showAll="0"/>
    <pivotField showAll="0"/>
    <pivotField showAll="0"/>
    <pivotField showAll="0"/>
    <pivotField showAll="0">
      <items count="2">
        <item x="0"/>
        <item t="default"/>
      </items>
    </pivotField>
    <pivotField showAll="0"/>
    <pivotField showAll="0"/>
    <pivotField showAll="0"/>
    <pivotField showAll="0">
      <items count="2">
        <item x="0"/>
        <item t="default"/>
      </items>
    </pivotField>
    <pivotField showAll="0">
      <items count="22">
        <item x="10"/>
        <item x="8"/>
        <item x="7"/>
        <item x="15"/>
        <item x="9"/>
        <item x="16"/>
        <item x="6"/>
        <item x="4"/>
        <item x="3"/>
        <item x="17"/>
        <item x="5"/>
        <item x="2"/>
        <item x="12"/>
        <item x="18"/>
        <item x="11"/>
        <item x="19"/>
        <item x="13"/>
        <item x="20"/>
        <item x="14"/>
        <item x="1"/>
        <item x="0"/>
        <item t="default"/>
      </items>
    </pivotField>
    <pivotField showAll="0"/>
    <pivotField axis="axisPage" multipleItemSelectionAllowed="1" showAll="0">
      <items count="22">
        <item x="10"/>
        <item x="8"/>
        <item x="7"/>
        <item x="15"/>
        <item x="9"/>
        <item x="16"/>
        <item x="6"/>
        <item h="1" x="4"/>
        <item h="1" x="3"/>
        <item h="1" x="17"/>
        <item h="1" x="5"/>
        <item h="1" x="2"/>
        <item h="1" x="12"/>
        <item h="1" x="18"/>
        <item h="1" x="11"/>
        <item h="1" x="19"/>
        <item h="1" x="13"/>
        <item h="1" x="20"/>
        <item h="1" x="14"/>
        <item h="1" x="1"/>
        <item h="1" x="0"/>
        <item t="default"/>
      </items>
    </pivotField>
  </pivotFields>
  <pageFields count="1">
    <pageField fld="13" hier="-1"/>
  </pageFields>
  <chartFormats count="8">
    <chartFormat chart="0" format="29" series="1">
      <pivotArea type="data" outline="0" fieldPosition="0">
        <references count="1">
          <reference field="13" count="1" selected="0">
            <x v="14"/>
          </reference>
        </references>
      </pivotArea>
    </chartFormat>
    <chartFormat chart="0" format="30" series="1">
      <pivotArea type="data" outline="0" fieldPosition="0">
        <references count="1">
          <reference field="13" count="1" selected="0">
            <x v="15"/>
          </reference>
        </references>
      </pivotArea>
    </chartFormat>
    <chartFormat chart="0" format="31" series="1">
      <pivotArea type="data" outline="0" fieldPosition="0">
        <references count="1">
          <reference field="13" count="1" selected="0">
            <x v="16"/>
          </reference>
        </references>
      </pivotArea>
    </chartFormat>
    <chartFormat chart="0" format="32" series="1">
      <pivotArea type="data" outline="0" fieldPosition="0">
        <references count="1">
          <reference field="13" count="1" selected="0">
            <x v="17"/>
          </reference>
        </references>
      </pivotArea>
    </chartFormat>
    <chartFormat chart="0" format="33" series="1">
      <pivotArea type="data" outline="0" fieldPosition="0">
        <references count="1">
          <reference field="13" count="1" selected="0">
            <x v="18"/>
          </reference>
        </references>
      </pivotArea>
    </chartFormat>
    <chartFormat chart="0" format="34" series="1">
      <pivotArea type="data" outline="0" fieldPosition="0">
        <references count="1">
          <reference field="13" count="1" selected="0">
            <x v="19"/>
          </reference>
        </references>
      </pivotArea>
    </chartFormat>
    <chartFormat chart="0" format="35" series="1">
      <pivotArea type="data" outline="0" fieldPosition="0">
        <references count="1">
          <reference field="13" count="1" selected="0">
            <x v="20"/>
          </reference>
        </references>
      </pivotArea>
    </chartFormat>
    <chartFormat chart="0" format="38" series="1">
      <pivotArea type="data" outline="0" fieldPosition="0">
        <references count="1">
          <reference field="13" count="1" selected="0">
            <x v="1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8C538-9DF6-49C0-BB79-3C32793FB088}">
  <dimension ref="A1"/>
  <sheetViews>
    <sheetView workbookViewId="0">
      <selection activeCell="R15" sqref="R15"/>
    </sheetView>
  </sheetViews>
  <sheetFormatPr defaultRowHeight="15" x14ac:dyDescent="0.25"/>
  <cols>
    <col min="1" max="1" width="12.28515625" bestFit="1" customWidth="1"/>
    <col min="2" max="2" width="24.42578125" bestFit="1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9A454-31A1-47F3-BDC9-0C729B06515C}">
  <dimension ref="A1:Q52"/>
  <sheetViews>
    <sheetView tabSelected="1" topLeftCell="B1" zoomScale="98" zoomScaleNormal="98" workbookViewId="0">
      <selection activeCell="Q78" sqref="Q78"/>
    </sheetView>
  </sheetViews>
  <sheetFormatPr defaultRowHeight="15" x14ac:dyDescent="0.25"/>
  <cols>
    <col min="1" max="1" width="5.42578125" customWidth="1"/>
    <col min="2" max="2" width="11.42578125" customWidth="1"/>
    <col min="3" max="3" width="18.5703125" customWidth="1"/>
    <col min="4" max="5" width="18" customWidth="1"/>
    <col min="6" max="6" width="12.28515625" customWidth="1"/>
    <col min="7" max="7" width="11.140625" customWidth="1"/>
    <col min="8" max="8" width="9.85546875" customWidth="1"/>
    <col min="9" max="9" width="12" customWidth="1"/>
    <col min="10" max="10" width="15.28515625" customWidth="1"/>
    <col min="11" max="11" width="13.5703125" customWidth="1"/>
    <col min="12" max="12" width="17.28515625" customWidth="1"/>
    <col min="13" max="13" width="13.42578125" customWidth="1"/>
    <col min="14" max="14" width="12.5703125" customWidth="1"/>
    <col min="15" max="15" width="12.42578125" bestFit="1" customWidth="1"/>
    <col min="16" max="16" width="17.85546875" bestFit="1" customWidth="1"/>
    <col min="17" max="22" width="16.28515625" bestFit="1" customWidth="1"/>
    <col min="23" max="23" width="11.28515625" bestFit="1" customWidth="1"/>
    <col min="24" max="24" width="7.85546875" bestFit="1" customWidth="1"/>
    <col min="25" max="25" width="4.85546875" bestFit="1" customWidth="1"/>
    <col min="26" max="26" width="7.85546875" bestFit="1" customWidth="1"/>
    <col min="27" max="27" width="4.85546875" bestFit="1" customWidth="1"/>
    <col min="28" max="28" width="7.85546875" bestFit="1" customWidth="1"/>
    <col min="29" max="29" width="4.85546875" bestFit="1" customWidth="1"/>
    <col min="30" max="30" width="7.85546875" bestFit="1" customWidth="1"/>
    <col min="31" max="31" width="11.28515625" bestFit="1" customWidth="1"/>
    <col min="32" max="32" width="4.140625" bestFit="1" customWidth="1"/>
    <col min="33" max="33" width="3" bestFit="1" customWidth="1"/>
    <col min="34" max="34" width="11.28515625" bestFit="1" customWidth="1"/>
    <col min="35" max="35" width="4.140625" bestFit="1" customWidth="1"/>
    <col min="36" max="36" width="3" bestFit="1" customWidth="1"/>
    <col min="37" max="37" width="11.28515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86</v>
      </c>
      <c r="G1" t="s">
        <v>5</v>
      </c>
      <c r="H1" t="s">
        <v>87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93</v>
      </c>
    </row>
    <row r="2" spans="1:16" x14ac:dyDescent="0.25">
      <c r="A2">
        <v>1</v>
      </c>
      <c r="B2" s="1">
        <v>46054</v>
      </c>
      <c r="C2" t="s">
        <v>11</v>
      </c>
      <c r="D2" t="s">
        <v>36</v>
      </c>
      <c r="E2" t="s">
        <v>59</v>
      </c>
      <c r="F2">
        <v>10</v>
      </c>
      <c r="G2">
        <v>18.5</v>
      </c>
      <c r="H2">
        <v>10</v>
      </c>
      <c r="I2">
        <v>39</v>
      </c>
      <c r="J2">
        <v>20</v>
      </c>
      <c r="K2">
        <v>100</v>
      </c>
      <c r="L2">
        <f>SUM(F2,G2,H2,I2,J2)</f>
        <v>97.5</v>
      </c>
      <c r="M2" t="str">
        <f>IF(L3&gt;50,"PASS","FAIL")</f>
        <v>PASS</v>
      </c>
      <c r="N2">
        <f>L2*100/K2</f>
        <v>97.5</v>
      </c>
    </row>
    <row r="3" spans="1:16" x14ac:dyDescent="0.25">
      <c r="A3">
        <v>2</v>
      </c>
      <c r="B3" s="1">
        <v>46054</v>
      </c>
      <c r="C3" t="s">
        <v>12</v>
      </c>
      <c r="D3" t="s">
        <v>37</v>
      </c>
      <c r="E3" t="s">
        <v>64</v>
      </c>
      <c r="F3">
        <v>10</v>
      </c>
      <c r="G3">
        <v>18</v>
      </c>
      <c r="H3">
        <v>8</v>
      </c>
      <c r="I3">
        <v>39</v>
      </c>
      <c r="J3">
        <v>19</v>
      </c>
      <c r="K3">
        <v>100</v>
      </c>
      <c r="L3">
        <f>SUM(F3,G3,H3,I3,J3)</f>
        <v>94</v>
      </c>
      <c r="M3" t="str">
        <f>IF(L4&gt;50,"PASS","FAIL")</f>
        <v>PASS</v>
      </c>
      <c r="N3">
        <f>L3*100/K3</f>
        <v>94</v>
      </c>
    </row>
    <row r="4" spans="1:16" x14ac:dyDescent="0.25">
      <c r="A4">
        <v>3</v>
      </c>
      <c r="B4" s="1">
        <v>46082</v>
      </c>
      <c r="C4" t="s">
        <v>13</v>
      </c>
      <c r="D4" t="s">
        <v>39</v>
      </c>
      <c r="E4" t="s">
        <v>65</v>
      </c>
      <c r="F4">
        <v>10</v>
      </c>
      <c r="G4">
        <v>19.5</v>
      </c>
      <c r="H4">
        <v>10</v>
      </c>
      <c r="I4">
        <v>38</v>
      </c>
      <c r="J4">
        <v>18</v>
      </c>
      <c r="K4">
        <v>100</v>
      </c>
      <c r="L4">
        <f t="shared" ref="L4:L26" si="0">SUM(F4,G4,H4,I4,J4)</f>
        <v>95.5</v>
      </c>
      <c r="M4" t="str">
        <f t="shared" ref="M4:M26" si="1">IF(L4&gt;50,"PASS","FAIL")</f>
        <v>PASS</v>
      </c>
      <c r="N4">
        <f t="shared" ref="N4:N26" si="2">L4*100/K4</f>
        <v>95.5</v>
      </c>
    </row>
    <row r="5" spans="1:16" x14ac:dyDescent="0.25">
      <c r="A5">
        <v>4</v>
      </c>
      <c r="B5" s="1">
        <v>46113</v>
      </c>
      <c r="C5" t="s">
        <v>14</v>
      </c>
      <c r="D5" t="s">
        <v>38</v>
      </c>
      <c r="E5" t="s">
        <v>60</v>
      </c>
      <c r="F5">
        <v>9</v>
      </c>
      <c r="G5">
        <v>20</v>
      </c>
      <c r="H5">
        <v>9</v>
      </c>
      <c r="I5">
        <v>11</v>
      </c>
      <c r="J5">
        <v>20</v>
      </c>
      <c r="K5">
        <v>100</v>
      </c>
      <c r="L5">
        <f t="shared" si="0"/>
        <v>69</v>
      </c>
      <c r="M5" t="str">
        <f t="shared" si="1"/>
        <v>PASS</v>
      </c>
      <c r="N5">
        <f t="shared" si="2"/>
        <v>69</v>
      </c>
    </row>
    <row r="6" spans="1:16" x14ac:dyDescent="0.25">
      <c r="A6">
        <v>5</v>
      </c>
      <c r="B6" s="1">
        <v>46143</v>
      </c>
      <c r="C6" t="s">
        <v>15</v>
      </c>
      <c r="D6" t="s">
        <v>40</v>
      </c>
      <c r="E6" t="s">
        <v>61</v>
      </c>
      <c r="F6">
        <v>8</v>
      </c>
      <c r="G6">
        <v>20</v>
      </c>
      <c r="H6">
        <v>8</v>
      </c>
      <c r="I6">
        <v>9</v>
      </c>
      <c r="J6">
        <v>16</v>
      </c>
      <c r="K6">
        <v>100</v>
      </c>
      <c r="L6">
        <f t="shared" si="0"/>
        <v>61</v>
      </c>
      <c r="M6" t="str">
        <f t="shared" si="1"/>
        <v>PASS</v>
      </c>
      <c r="N6">
        <f t="shared" si="2"/>
        <v>61</v>
      </c>
    </row>
    <row r="7" spans="1:16" x14ac:dyDescent="0.25">
      <c r="A7">
        <v>6</v>
      </c>
      <c r="B7" s="1">
        <v>46174</v>
      </c>
      <c r="C7" t="s">
        <v>16</v>
      </c>
      <c r="D7" t="s">
        <v>41</v>
      </c>
      <c r="E7" t="s">
        <v>66</v>
      </c>
      <c r="F7">
        <v>7</v>
      </c>
      <c r="G7">
        <v>16.5</v>
      </c>
      <c r="H7">
        <v>7</v>
      </c>
      <c r="I7">
        <v>10</v>
      </c>
      <c r="J7">
        <v>16</v>
      </c>
      <c r="K7">
        <v>100</v>
      </c>
      <c r="L7">
        <f t="shared" si="0"/>
        <v>56.5</v>
      </c>
      <c r="M7" t="str">
        <f t="shared" si="1"/>
        <v>PASS</v>
      </c>
      <c r="N7">
        <f t="shared" si="2"/>
        <v>56.5</v>
      </c>
    </row>
    <row r="8" spans="1:16" x14ac:dyDescent="0.25">
      <c r="A8">
        <v>7</v>
      </c>
      <c r="B8" s="1">
        <v>46204</v>
      </c>
      <c r="C8" t="s">
        <v>17</v>
      </c>
      <c r="D8" t="s">
        <v>42</v>
      </c>
      <c r="E8" t="s">
        <v>62</v>
      </c>
      <c r="F8">
        <v>6</v>
      </c>
      <c r="G8">
        <v>20</v>
      </c>
      <c r="H8">
        <v>6</v>
      </c>
      <c r="I8">
        <v>20</v>
      </c>
      <c r="J8">
        <v>15</v>
      </c>
      <c r="K8">
        <v>100</v>
      </c>
      <c r="L8">
        <f t="shared" si="0"/>
        <v>67</v>
      </c>
      <c r="M8" t="str">
        <f t="shared" si="1"/>
        <v>PASS</v>
      </c>
      <c r="N8">
        <f t="shared" si="2"/>
        <v>67</v>
      </c>
    </row>
    <row r="9" spans="1:16" x14ac:dyDescent="0.25">
      <c r="A9">
        <v>8</v>
      </c>
      <c r="B9" s="1">
        <v>46235</v>
      </c>
      <c r="C9" t="s">
        <v>18</v>
      </c>
      <c r="D9" t="s">
        <v>43</v>
      </c>
      <c r="E9" t="s">
        <v>67</v>
      </c>
      <c r="F9">
        <v>1</v>
      </c>
      <c r="G9">
        <v>20</v>
      </c>
      <c r="H9">
        <v>5</v>
      </c>
      <c r="I9">
        <v>15</v>
      </c>
      <c r="J9">
        <v>14</v>
      </c>
      <c r="K9">
        <v>100</v>
      </c>
      <c r="L9">
        <f t="shared" si="0"/>
        <v>55</v>
      </c>
      <c r="M9" t="str">
        <f t="shared" si="1"/>
        <v>PASS</v>
      </c>
      <c r="N9">
        <f t="shared" si="2"/>
        <v>55</v>
      </c>
    </row>
    <row r="10" spans="1:16" x14ac:dyDescent="0.25">
      <c r="A10">
        <v>9</v>
      </c>
      <c r="B10" s="1">
        <v>46266</v>
      </c>
      <c r="C10" t="s">
        <v>19</v>
      </c>
      <c r="D10" t="s">
        <v>44</v>
      </c>
      <c r="E10" t="s">
        <v>73</v>
      </c>
      <c r="F10">
        <v>10</v>
      </c>
      <c r="G10">
        <v>20</v>
      </c>
      <c r="H10">
        <v>10</v>
      </c>
      <c r="I10">
        <v>36</v>
      </c>
      <c r="J10">
        <v>20</v>
      </c>
      <c r="K10">
        <v>100</v>
      </c>
      <c r="L10">
        <f t="shared" si="0"/>
        <v>96</v>
      </c>
      <c r="M10" t="str">
        <f t="shared" si="1"/>
        <v>PASS</v>
      </c>
      <c r="N10">
        <f t="shared" si="2"/>
        <v>96</v>
      </c>
    </row>
    <row r="11" spans="1:16" x14ac:dyDescent="0.25">
      <c r="A11">
        <v>10</v>
      </c>
      <c r="B11" s="1">
        <v>46296</v>
      </c>
      <c r="C11" t="s">
        <v>20</v>
      </c>
      <c r="D11" t="s">
        <v>45</v>
      </c>
      <c r="E11" t="s">
        <v>74</v>
      </c>
      <c r="F11">
        <v>0</v>
      </c>
      <c r="G11">
        <v>10</v>
      </c>
      <c r="H11">
        <v>3</v>
      </c>
      <c r="I11">
        <v>15</v>
      </c>
      <c r="J11">
        <v>10</v>
      </c>
      <c r="K11">
        <v>100</v>
      </c>
      <c r="L11">
        <f t="shared" si="0"/>
        <v>38</v>
      </c>
      <c r="M11" t="str">
        <f t="shared" si="1"/>
        <v>FAIL</v>
      </c>
      <c r="N11">
        <f t="shared" si="2"/>
        <v>38</v>
      </c>
    </row>
    <row r="12" spans="1:16" x14ac:dyDescent="0.25">
      <c r="A12">
        <v>11</v>
      </c>
      <c r="B12" s="1">
        <v>46327</v>
      </c>
      <c r="C12" t="s">
        <v>21</v>
      </c>
      <c r="D12" t="s">
        <v>46</v>
      </c>
      <c r="E12" t="s">
        <v>75</v>
      </c>
      <c r="F12">
        <v>4</v>
      </c>
      <c r="G12">
        <v>1</v>
      </c>
      <c r="H12">
        <v>3</v>
      </c>
      <c r="I12">
        <v>10</v>
      </c>
      <c r="J12">
        <v>5</v>
      </c>
      <c r="K12">
        <v>100</v>
      </c>
      <c r="L12">
        <f t="shared" si="0"/>
        <v>23</v>
      </c>
      <c r="M12" t="str">
        <f t="shared" si="1"/>
        <v>FAIL</v>
      </c>
      <c r="N12">
        <f t="shared" si="2"/>
        <v>23</v>
      </c>
    </row>
    <row r="13" spans="1:16" x14ac:dyDescent="0.25">
      <c r="A13">
        <v>12</v>
      </c>
      <c r="B13" s="1">
        <v>46357</v>
      </c>
      <c r="C13" t="s">
        <v>22</v>
      </c>
      <c r="D13" t="s">
        <v>47</v>
      </c>
      <c r="E13" t="s">
        <v>76</v>
      </c>
      <c r="F13">
        <v>6</v>
      </c>
      <c r="G13">
        <v>0.5</v>
      </c>
      <c r="H13">
        <v>5</v>
      </c>
      <c r="I13">
        <v>11</v>
      </c>
      <c r="J13">
        <v>10</v>
      </c>
      <c r="K13">
        <v>100</v>
      </c>
      <c r="L13">
        <f t="shared" si="0"/>
        <v>32.5</v>
      </c>
      <c r="M13" t="str">
        <f t="shared" si="1"/>
        <v>FAIL</v>
      </c>
      <c r="N13">
        <f t="shared" si="2"/>
        <v>32.5</v>
      </c>
    </row>
    <row r="14" spans="1:16" ht="21" x14ac:dyDescent="0.35">
      <c r="A14">
        <v>13</v>
      </c>
      <c r="B14" s="1">
        <v>46358</v>
      </c>
      <c r="C14" t="s">
        <v>23</v>
      </c>
      <c r="D14" t="s">
        <v>48</v>
      </c>
      <c r="E14" t="s">
        <v>77</v>
      </c>
      <c r="F14">
        <v>4</v>
      </c>
      <c r="G14">
        <v>20</v>
      </c>
      <c r="H14">
        <v>2</v>
      </c>
      <c r="I14">
        <v>6</v>
      </c>
      <c r="J14">
        <v>4</v>
      </c>
      <c r="K14">
        <v>100</v>
      </c>
      <c r="L14">
        <f t="shared" si="0"/>
        <v>36</v>
      </c>
      <c r="M14" t="str">
        <f t="shared" si="1"/>
        <v>FAIL</v>
      </c>
      <c r="N14">
        <f t="shared" si="2"/>
        <v>36</v>
      </c>
      <c r="P14" s="4" t="s">
        <v>98</v>
      </c>
    </row>
    <row r="15" spans="1:16" x14ac:dyDescent="0.25">
      <c r="A15">
        <v>14</v>
      </c>
      <c r="B15" s="1">
        <v>46359</v>
      </c>
      <c r="C15" t="s">
        <v>24</v>
      </c>
      <c r="D15" t="s">
        <v>49</v>
      </c>
      <c r="E15" t="s">
        <v>78</v>
      </c>
      <c r="F15">
        <v>10</v>
      </c>
      <c r="G15">
        <v>20</v>
      </c>
      <c r="H15">
        <v>10</v>
      </c>
      <c r="I15">
        <v>22</v>
      </c>
      <c r="J15">
        <v>20</v>
      </c>
      <c r="K15">
        <v>100</v>
      </c>
      <c r="L15">
        <f t="shared" si="0"/>
        <v>82</v>
      </c>
      <c r="M15" t="str">
        <f t="shared" si="1"/>
        <v>PASS</v>
      </c>
      <c r="N15">
        <f t="shared" si="2"/>
        <v>82</v>
      </c>
    </row>
    <row r="16" spans="1:16" x14ac:dyDescent="0.25">
      <c r="A16">
        <v>15</v>
      </c>
      <c r="B16" s="1">
        <v>46360</v>
      </c>
      <c r="C16" t="s">
        <v>25</v>
      </c>
      <c r="D16" t="s">
        <v>85</v>
      </c>
      <c r="E16" t="s">
        <v>84</v>
      </c>
      <c r="F16">
        <v>10</v>
      </c>
      <c r="G16">
        <v>18</v>
      </c>
      <c r="H16">
        <v>8</v>
      </c>
      <c r="I16">
        <v>16</v>
      </c>
      <c r="J16">
        <v>19</v>
      </c>
      <c r="K16">
        <v>100</v>
      </c>
      <c r="L16">
        <f t="shared" si="0"/>
        <v>71</v>
      </c>
      <c r="M16" t="str">
        <f t="shared" si="1"/>
        <v>PASS</v>
      </c>
      <c r="N16">
        <f t="shared" si="2"/>
        <v>71</v>
      </c>
    </row>
    <row r="17" spans="1:17" x14ac:dyDescent="0.25">
      <c r="A17">
        <v>16</v>
      </c>
      <c r="B17" s="1">
        <v>46361</v>
      </c>
      <c r="C17" t="s">
        <v>26</v>
      </c>
      <c r="D17" t="s">
        <v>50</v>
      </c>
      <c r="E17" t="s">
        <v>83</v>
      </c>
      <c r="F17">
        <v>10</v>
      </c>
      <c r="G17">
        <v>20</v>
      </c>
      <c r="H17">
        <v>9</v>
      </c>
      <c r="I17">
        <v>35</v>
      </c>
      <c r="J17">
        <v>14</v>
      </c>
      <c r="K17">
        <v>100</v>
      </c>
      <c r="L17">
        <f t="shared" si="0"/>
        <v>88</v>
      </c>
      <c r="M17" t="str">
        <f t="shared" si="1"/>
        <v>PASS</v>
      </c>
      <c r="N17">
        <f t="shared" si="2"/>
        <v>88</v>
      </c>
      <c r="P17" s="2" t="s">
        <v>3</v>
      </c>
      <c r="Q17" t="s">
        <v>94</v>
      </c>
    </row>
    <row r="18" spans="1:17" x14ac:dyDescent="0.25">
      <c r="A18">
        <v>17</v>
      </c>
      <c r="B18" s="1">
        <v>46362</v>
      </c>
      <c r="C18" t="s">
        <v>27</v>
      </c>
      <c r="D18" t="s">
        <v>51</v>
      </c>
      <c r="E18" t="s">
        <v>82</v>
      </c>
      <c r="F18">
        <v>8</v>
      </c>
      <c r="G18">
        <v>20</v>
      </c>
      <c r="H18">
        <v>10</v>
      </c>
      <c r="I18">
        <v>37</v>
      </c>
      <c r="J18">
        <v>20</v>
      </c>
      <c r="K18">
        <v>100</v>
      </c>
      <c r="L18">
        <f t="shared" si="0"/>
        <v>95</v>
      </c>
      <c r="M18" t="str">
        <f t="shared" si="1"/>
        <v>PASS</v>
      </c>
      <c r="N18">
        <f t="shared" si="2"/>
        <v>95</v>
      </c>
    </row>
    <row r="19" spans="1:17" x14ac:dyDescent="0.25">
      <c r="A19">
        <v>18</v>
      </c>
      <c r="B19" s="1">
        <v>46363</v>
      </c>
      <c r="C19" t="s">
        <v>28</v>
      </c>
      <c r="D19" t="s">
        <v>79</v>
      </c>
      <c r="E19" t="s">
        <v>80</v>
      </c>
      <c r="F19">
        <v>9</v>
      </c>
      <c r="G19">
        <v>16</v>
      </c>
      <c r="H19">
        <v>0</v>
      </c>
      <c r="I19">
        <v>10</v>
      </c>
      <c r="J19">
        <v>11</v>
      </c>
      <c r="K19">
        <v>100</v>
      </c>
      <c r="L19">
        <f t="shared" si="0"/>
        <v>46</v>
      </c>
      <c r="M19" t="str">
        <f>IF(L19&gt;50,"PASS","FAIL")</f>
        <v>FAIL</v>
      </c>
      <c r="N19">
        <f>L19*100/K19</f>
        <v>46</v>
      </c>
      <c r="P19" s="2" t="s">
        <v>97</v>
      </c>
    </row>
    <row r="20" spans="1:17" x14ac:dyDescent="0.25">
      <c r="A20">
        <v>19</v>
      </c>
      <c r="B20" s="1">
        <v>46364</v>
      </c>
      <c r="C20" t="s">
        <v>29</v>
      </c>
      <c r="D20" t="s">
        <v>52</v>
      </c>
      <c r="E20" t="s">
        <v>81</v>
      </c>
      <c r="F20">
        <v>7</v>
      </c>
      <c r="G20">
        <v>20</v>
      </c>
      <c r="H20">
        <v>7</v>
      </c>
      <c r="I20">
        <v>10</v>
      </c>
      <c r="J20">
        <v>11</v>
      </c>
      <c r="K20">
        <v>100</v>
      </c>
      <c r="L20">
        <f t="shared" si="0"/>
        <v>55</v>
      </c>
      <c r="M20" t="str">
        <f t="shared" si="1"/>
        <v>PASS</v>
      </c>
      <c r="N20">
        <f t="shared" si="2"/>
        <v>55</v>
      </c>
      <c r="P20" s="3" t="s">
        <v>11</v>
      </c>
    </row>
    <row r="21" spans="1:17" x14ac:dyDescent="0.25">
      <c r="A21">
        <v>20</v>
      </c>
      <c r="B21" s="1">
        <v>46365</v>
      </c>
      <c r="C21" t="s">
        <v>30</v>
      </c>
      <c r="D21" t="s">
        <v>53</v>
      </c>
      <c r="E21" t="s">
        <v>63</v>
      </c>
      <c r="F21">
        <v>10</v>
      </c>
      <c r="G21">
        <v>20</v>
      </c>
      <c r="H21">
        <v>10</v>
      </c>
      <c r="I21">
        <v>35</v>
      </c>
      <c r="J21">
        <v>20</v>
      </c>
      <c r="K21">
        <v>100</v>
      </c>
      <c r="L21">
        <f t="shared" si="0"/>
        <v>95</v>
      </c>
      <c r="M21" t="str">
        <f t="shared" si="1"/>
        <v>PASS</v>
      </c>
      <c r="N21">
        <f t="shared" si="2"/>
        <v>95</v>
      </c>
      <c r="P21" s="3" t="s">
        <v>12</v>
      </c>
    </row>
    <row r="22" spans="1:17" x14ac:dyDescent="0.25">
      <c r="A22">
        <v>21</v>
      </c>
      <c r="B22" s="1">
        <v>46366</v>
      </c>
      <c r="C22" t="s">
        <v>31</v>
      </c>
      <c r="D22" t="s">
        <v>54</v>
      </c>
      <c r="E22" t="s">
        <v>72</v>
      </c>
      <c r="F22">
        <v>0</v>
      </c>
      <c r="G22">
        <v>20</v>
      </c>
      <c r="H22">
        <v>5</v>
      </c>
      <c r="I22">
        <v>17</v>
      </c>
      <c r="J22">
        <v>11</v>
      </c>
      <c r="K22">
        <v>100</v>
      </c>
      <c r="L22">
        <f t="shared" si="0"/>
        <v>53</v>
      </c>
      <c r="M22" t="str">
        <f t="shared" si="1"/>
        <v>PASS</v>
      </c>
      <c r="N22">
        <f t="shared" si="2"/>
        <v>53</v>
      </c>
      <c r="P22" s="3" t="s">
        <v>13</v>
      </c>
    </row>
    <row r="23" spans="1:17" x14ac:dyDescent="0.25">
      <c r="A23">
        <v>22</v>
      </c>
      <c r="B23" s="1">
        <v>46367</v>
      </c>
      <c r="C23" t="s">
        <v>32</v>
      </c>
      <c r="D23" t="s">
        <v>55</v>
      </c>
      <c r="E23" t="s">
        <v>68</v>
      </c>
      <c r="F23">
        <v>9</v>
      </c>
      <c r="G23">
        <v>15</v>
      </c>
      <c r="H23">
        <v>9</v>
      </c>
      <c r="I23">
        <v>22</v>
      </c>
      <c r="J23">
        <v>5</v>
      </c>
      <c r="K23">
        <v>100</v>
      </c>
      <c r="L23">
        <f t="shared" si="0"/>
        <v>60</v>
      </c>
      <c r="M23" t="str">
        <f>IF(L23&gt;50,"PASS","FAIL")</f>
        <v>PASS</v>
      </c>
      <c r="N23">
        <f t="shared" si="2"/>
        <v>60</v>
      </c>
      <c r="P23" s="3" t="s">
        <v>14</v>
      </c>
    </row>
    <row r="24" spans="1:17" x14ac:dyDescent="0.25">
      <c r="A24">
        <v>23</v>
      </c>
      <c r="B24" s="1">
        <v>46368</v>
      </c>
      <c r="C24" t="s">
        <v>33</v>
      </c>
      <c r="D24" t="s">
        <v>56</v>
      </c>
      <c r="E24" t="s">
        <v>69</v>
      </c>
      <c r="F24">
        <v>8</v>
      </c>
      <c r="G24">
        <v>20</v>
      </c>
      <c r="H24">
        <v>10</v>
      </c>
      <c r="I24">
        <v>20</v>
      </c>
      <c r="J24">
        <v>20</v>
      </c>
      <c r="K24">
        <v>100</v>
      </c>
      <c r="L24">
        <f t="shared" si="0"/>
        <v>78</v>
      </c>
      <c r="M24" t="str">
        <f t="shared" si="1"/>
        <v>PASS</v>
      </c>
      <c r="N24">
        <f t="shared" si="2"/>
        <v>78</v>
      </c>
      <c r="P24" s="3" t="s">
        <v>15</v>
      </c>
    </row>
    <row r="25" spans="1:17" x14ac:dyDescent="0.25">
      <c r="A25">
        <v>24</v>
      </c>
      <c r="B25" s="1">
        <v>46369</v>
      </c>
      <c r="C25" t="s">
        <v>34</v>
      </c>
      <c r="D25" t="s">
        <v>57</v>
      </c>
      <c r="E25" t="s">
        <v>70</v>
      </c>
      <c r="F25">
        <v>10</v>
      </c>
      <c r="G25">
        <v>10</v>
      </c>
      <c r="H25">
        <v>9</v>
      </c>
      <c r="I25">
        <v>29</v>
      </c>
      <c r="J25">
        <v>19</v>
      </c>
      <c r="K25">
        <v>100</v>
      </c>
      <c r="L25">
        <f t="shared" si="0"/>
        <v>77</v>
      </c>
      <c r="M25" t="str">
        <f t="shared" si="1"/>
        <v>PASS</v>
      </c>
      <c r="N25">
        <f t="shared" si="2"/>
        <v>77</v>
      </c>
      <c r="P25" s="3" t="s">
        <v>16</v>
      </c>
    </row>
    <row r="26" spans="1:17" x14ac:dyDescent="0.25">
      <c r="A26">
        <v>25</v>
      </c>
      <c r="B26" s="1">
        <v>46370</v>
      </c>
      <c r="C26" t="s">
        <v>35</v>
      </c>
      <c r="D26" t="s">
        <v>58</v>
      </c>
      <c r="E26" t="s">
        <v>71</v>
      </c>
      <c r="F26">
        <v>10</v>
      </c>
      <c r="G26">
        <v>20</v>
      </c>
      <c r="H26">
        <v>10</v>
      </c>
      <c r="I26">
        <v>34</v>
      </c>
      <c r="J26">
        <v>20</v>
      </c>
      <c r="K26">
        <v>100</v>
      </c>
      <c r="L26">
        <f t="shared" si="0"/>
        <v>94</v>
      </c>
      <c r="M26" t="str">
        <f t="shared" si="1"/>
        <v>PASS</v>
      </c>
      <c r="N26">
        <f t="shared" si="2"/>
        <v>94</v>
      </c>
      <c r="P26" s="3" t="s">
        <v>17</v>
      </c>
    </row>
    <row r="27" spans="1:17" x14ac:dyDescent="0.25">
      <c r="P27" s="3" t="s">
        <v>18</v>
      </c>
    </row>
    <row r="28" spans="1:17" x14ac:dyDescent="0.25">
      <c r="F28" t="s">
        <v>88</v>
      </c>
      <c r="G28" t="s">
        <v>89</v>
      </c>
      <c r="H28" t="s">
        <v>90</v>
      </c>
      <c r="I28" t="s">
        <v>91</v>
      </c>
      <c r="J28" t="s">
        <v>92</v>
      </c>
      <c r="P28" s="3" t="s">
        <v>19</v>
      </c>
    </row>
    <row r="29" spans="1:17" x14ac:dyDescent="0.25">
      <c r="P29" s="3" t="s">
        <v>20</v>
      </c>
    </row>
    <row r="30" spans="1:17" x14ac:dyDescent="0.25">
      <c r="F30">
        <f>COUNT(F2:F26)</f>
        <v>25</v>
      </c>
      <c r="G30">
        <f>AVERAGE(G2:G26)</f>
        <v>16.920000000000002</v>
      </c>
      <c r="H30">
        <f>MIN(H2:H26)</f>
        <v>0</v>
      </c>
      <c r="I30">
        <f>MAX(I2:I26)</f>
        <v>39</v>
      </c>
      <c r="J30">
        <f>VLOOKUP(A2,A1:J26,6,"FALSE")</f>
        <v>10</v>
      </c>
      <c r="P30" s="3" t="s">
        <v>21</v>
      </c>
    </row>
    <row r="31" spans="1:17" x14ac:dyDescent="0.25">
      <c r="P31" s="3" t="s">
        <v>22</v>
      </c>
    </row>
    <row r="32" spans="1:17" x14ac:dyDescent="0.25">
      <c r="P32" s="3" t="s">
        <v>23</v>
      </c>
    </row>
    <row r="33" spans="16:16" x14ac:dyDescent="0.25">
      <c r="P33" s="3" t="s">
        <v>24</v>
      </c>
    </row>
    <row r="34" spans="16:16" x14ac:dyDescent="0.25">
      <c r="P34" s="3" t="s">
        <v>25</v>
      </c>
    </row>
    <row r="35" spans="16:16" x14ac:dyDescent="0.25">
      <c r="P35" s="3" t="s">
        <v>26</v>
      </c>
    </row>
    <row r="36" spans="16:16" x14ac:dyDescent="0.25">
      <c r="P36" s="3" t="s">
        <v>27</v>
      </c>
    </row>
    <row r="37" spans="16:16" x14ac:dyDescent="0.25">
      <c r="P37" s="3" t="s">
        <v>28</v>
      </c>
    </row>
    <row r="38" spans="16:16" x14ac:dyDescent="0.25">
      <c r="P38" s="3" t="s">
        <v>29</v>
      </c>
    </row>
    <row r="39" spans="16:16" x14ac:dyDescent="0.25">
      <c r="P39" s="3" t="s">
        <v>30</v>
      </c>
    </row>
    <row r="40" spans="16:16" x14ac:dyDescent="0.25">
      <c r="P40" s="3" t="s">
        <v>31</v>
      </c>
    </row>
    <row r="41" spans="16:16" x14ac:dyDescent="0.25">
      <c r="P41" s="3" t="s">
        <v>32</v>
      </c>
    </row>
    <row r="42" spans="16:16" x14ac:dyDescent="0.25">
      <c r="P42" s="3" t="s">
        <v>33</v>
      </c>
    </row>
    <row r="43" spans="16:16" x14ac:dyDescent="0.25">
      <c r="P43" s="3" t="s">
        <v>34</v>
      </c>
    </row>
    <row r="44" spans="16:16" x14ac:dyDescent="0.25">
      <c r="P44" s="3" t="s">
        <v>35</v>
      </c>
    </row>
    <row r="45" spans="16:16" x14ac:dyDescent="0.25">
      <c r="P45" s="3" t="s">
        <v>95</v>
      </c>
    </row>
    <row r="52" spans="15:16" x14ac:dyDescent="0.25">
      <c r="O52" s="2" t="s">
        <v>93</v>
      </c>
      <c r="P52" t="s">
        <v>96</v>
      </c>
    </row>
  </sheetData>
  <phoneticPr fontId="1" type="noConversion"/>
  <conditionalFormatting sqref="M1:M26 N19 N11:N14">
    <cfRule type="containsText" dxfId="4" priority="3" operator="containsText" text="FAIL">
      <formula>NOT(ISERROR(SEARCH("FAIL",M1)))</formula>
    </cfRule>
    <cfRule type="containsText" dxfId="3" priority="4" operator="containsText" text="FAIL">
      <formula>NOT(ISERROR(SEARCH("FAIL",M1)))</formula>
    </cfRule>
  </conditionalFormatting>
  <conditionalFormatting sqref="M2:M26 N19 N11:N14">
    <cfRule type="containsText" dxfId="2" priority="2" operator="containsText" text="FAIL">
      <formula>NOT(ISERROR(SEARCH("FAIL",M2)))</formula>
    </cfRule>
    <cfRule type="cellIs" dxfId="1" priority="5" operator="lessThan">
      <formula>50</formula>
    </cfRule>
  </conditionalFormatting>
  <conditionalFormatting sqref="N1 E28:E30 A1:M26 N19 N11:N14">
    <cfRule type="containsText" dxfId="0" priority="1" operator="containsText" text="FAIL">
      <formula>NOT(ISERROR(SEARCH("FAIL",A1)))</formula>
    </cfRule>
  </conditionalFormatting>
  <dataValidations count="2">
    <dataValidation type="date" allowBlank="1" showInputMessage="1" showErrorMessage="1" errorTitle="you are not eligable" error="you are not eligable" promptTitle="Instruction" sqref="B1:B26" xr:uid="{EE9EAFDC-8734-4574-B5FB-819D39D18D62}">
      <formula1>46054</formula1>
      <formula2>46360</formula2>
    </dataValidation>
    <dataValidation type="date" operator="equal" showInputMessage="1" showErrorMessage="1" errorTitle="NOT ELIGIBLE TO" error="NOT ELIGIBLE TO" sqref="N4" xr:uid="{32E23EB9-057B-4C75-8A0E-BA7780DD1406}">
      <formula1>46054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AHSAN</dc:creator>
  <cp:lastModifiedBy>AHSAN</cp:lastModifiedBy>
  <dcterms:created xsi:type="dcterms:W3CDTF">2026-01-30T08:52:01Z</dcterms:created>
  <dcterms:modified xsi:type="dcterms:W3CDTF">2026-01-31T13:41:09Z</dcterms:modified>
</cp:coreProperties>
</file>